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7CB89521-F68E-4FAF-BEF2-3009C5F0536E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TS1" sheetId="2" r:id="rId1"/>
    <sheet name="TS2" sheetId="4" r:id="rId2"/>
    <sheet name="TS3" sheetId="6" r:id="rId3"/>
  </sheets>
  <definedNames>
    <definedName name="DadosExternos_1" localSheetId="0" hidden="1">'TS1'!$A$2:$J$9</definedName>
    <definedName name="DadosExternos_1" localSheetId="1" hidden="1">'TS2'!$A$2:$G$8</definedName>
    <definedName name="DadosExternos_1" localSheetId="2" hidden="1">'TS3'!$A$2:$G$8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 a="1"/>
  <c r="B3" i="2"/>
  <c r="B4" i="2" a="1"/>
  <c r="B4" i="2"/>
  <c r="B5" i="2" a="1"/>
  <c r="B5" i="2"/>
  <c r="B6" i="2" a="1"/>
  <c r="B6" i="2"/>
  <c r="B7" i="2" a="1"/>
  <c r="B7" i="2"/>
  <c r="B8" i="2" a="1"/>
  <c r="B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4B8B8B-8EEF-4022-BFB0-CFE6BCBFB64B}" keepAlive="1" name="Query - splementary1" description="Conexão com a consulta 'splementary1' na pasta de trabalho." type="5" refreshedVersion="8" background="1">
    <dbPr connection="Provider=Microsoft.Mashup.OleDb.1;Data Source=$Workbook$;Location=splementary1;Extended Properties=&quot;&quot;" command="SELECT * FROM [splementary1]"/>
  </connection>
  <connection id="2" xr16:uid="{7FBA24C3-E0A6-4289-92C9-64C1561D9B8F}" keepAlive="1" name="Query - suplementary3" description="Conexão com a consulta 'suplementary3' na pasta de trabalho." type="5" refreshedVersion="8" background="1">
    <dbPr connection="Provider=Microsoft.Mashup.OleDb.1;Data Source=$Workbook$;Location=suplementary3;Extended Properties=&quot;&quot;" command="SELECT * FROM [suplementary3]"/>
  </connection>
  <connection id="3" xr16:uid="{48B62F1D-8B02-41FF-A52E-97D131700DE9}" keepAlive="1" name="Query - suplemetary2 1" description="Conexão com a consulta 'suplemetary2 1' na pasta de trabalho." type="5" refreshedVersion="8" background="1">
    <dbPr connection="Provider=Microsoft.Mashup.OleDb.1;Data Source=$Workbook$;Location=suplemetary2 1;Extended Properties=&quot;&quot;" command="SELECT * FROM [suplemetary2 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<sst xmlns="http://schemas.openxmlformats.org/spreadsheetml/2006/main" count="102" uniqueCount="58">
  <si>
    <t>Supplementary Table S1. Target Conservation, Mismatch Map, and Thermodynamic Profile of Elite siRNA Candidates Across Nipah Virus Isolates (N=48)</t>
  </si>
  <si>
    <t>Candidate ID</t>
  </si>
  <si>
    <t>Target Gene</t>
  </si>
  <si>
    <t>Target Position (GenBank)</t>
  </si>
  <si>
    <t>Sense Strand Sequence (5'-&gt;3')</t>
  </si>
  <si>
    <t>Antisense Strand Sequence (5'-&gt;3')</t>
  </si>
  <si>
    <t>GC Content (%)</t>
  </si>
  <si>
    <t>Conservation Identity (%)</t>
  </si>
  <si>
    <t>Total Mismatches (Malaysia Isolates)</t>
  </si>
  <si>
    <t>Total Mismatches (Bangladesh Isolates)</t>
  </si>
  <si>
    <t>Seed Region Mismatches (Pos 2-8)</t>
  </si>
  <si>
    <t>NiV-N-36</t>
  </si>
  <si>
    <t>CGGCUAGUUUUAGGAGUUAUU</t>
  </si>
  <si>
    <t>UAACUCCUAAAACUAGCCGUU</t>
  </si>
  <si>
    <t>NiV-N-121</t>
  </si>
  <si>
    <t>GAUAUUUGUACCGGCUACUUU</t>
  </si>
  <si>
    <t>AGUAGCCGGUACAAAUAUCUU</t>
  </si>
  <si>
    <t>NiV-N-152</t>
  </si>
  <si>
    <t>CUCAGAUGGGAACUAACAUUU</t>
  </si>
  <si>
    <t>AUGUUAGUUCCCAUCUGAGUU</t>
  </si>
  <si>
    <t>NiV-L-42</t>
  </si>
  <si>
    <t>CGCAGAGAAUCCUGUUUUUUU</t>
  </si>
  <si>
    <t>AAAAACAGGAUUCUCUGCGUU</t>
  </si>
  <si>
    <t>NiV-L-180</t>
  </si>
  <si>
    <t>GGUUGAGAUAUACGACACAUU</t>
  </si>
  <si>
    <t>UGUGUCGUAUAUCUCAACCUU</t>
  </si>
  <si>
    <t>NiV-L-426</t>
  </si>
  <si>
    <t>CAGAAACCGGAUCGAUAAAUU</t>
  </si>
  <si>
    <t>UUUAUCGAUCCGGUUUCUGUU</t>
  </si>
  <si>
    <t>Footnote: Target coordinates correspond to reference genomes AF212302.2 (Malaysia) and AY988601.1 (Bangladesh). Sequence conservation was verified across all 48 complete Nipah virus genomes retrieved from NCBI GenBank.</t>
  </si>
  <si>
    <t>Supplementary Table S2. In Silico Off-Target Transcriptome Screening and Target Secondary Structure Accessibility</t>
  </si>
  <si>
    <t>Human Transcript Match (NCBI RefSeq)</t>
  </si>
  <si>
    <t>Mismatches in Non-Seed Region</t>
  </si>
  <si>
    <t>Seed Region Matches (Pos 2-8)</t>
  </si>
  <si>
    <t>Accessibility Probability (Pa)</t>
  </si>
  <si>
    <t>Local Target Conformation</t>
  </si>
  <si>
    <t>Gene N</t>
  </si>
  <si>
    <t>No significant similarity</t>
  </si>
  <si>
    <t>N/A</t>
  </si>
  <si>
    <t>None</t>
  </si>
  <si>
    <t>Single-stranded loop</t>
  </si>
  <si>
    <t>Open stem-loop</t>
  </si>
  <si>
    <t>Gene L</t>
  </si>
  <si>
    <t>External loop</t>
  </si>
  <si>
    <t>Footnote: Off-target analysis was conducted using blastn against the human RefSeq RNA database (refseq_rna). Accessibility probabilities (P_a) were calculated using RNAfold (ViennaRNA Package v2.6.0) across a 100-nt local mRNA window. Pa &gt; 0.65 indicates high single-stranded accessibility.</t>
  </si>
  <si>
    <t>Supplementary Table S3. Molecular Docking Energy Profile and Structural Clusters against Human Argonaute-2 (hAgo2, PDB ID: 4EI1)</t>
  </si>
  <si>
    <t>Top Pose Binding Free Energy (Delta G kcal/mol)</t>
  </si>
  <si>
    <t>Mean Binding Energy (Top 10 Poses kcal/mol)</t>
  </si>
  <si>
    <t>HDOCK Score</t>
  </si>
  <si>
    <t>Cluster Size (Poses)</t>
  </si>
  <si>
    <t>Ligand RMSD (Angstroms)</t>
  </si>
  <si>
    <t>-8.41 +/- 0.12</t>
  </si>
  <si>
    <t>-7.95 +/- 0.18</t>
  </si>
  <si>
    <t>-7.80 +/- 0.15</t>
  </si>
  <si>
    <t>-8.38 +/- 0.14</t>
  </si>
  <si>
    <t>-8.04 +/- 0.19</t>
  </si>
  <si>
    <t>-7.88 +/- 0.11</t>
  </si>
  <si>
    <t>Footnote: Docking performed via HDOCK using ITScore and FFT shape complementarity algorithms. Native guide RNA redocking into hAgo2 (4EI1) yielded an RMSD of 1.24.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</si>
</sst>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Palatino Linotype"/>
    </font>
    <font>
      <sz val="10"/>
      <color rgb="FF000000"/>
      <name val="Palatino Linotype"/>
    </font>
    <font>
      <sz val="11"/>
      <color rgb="FF000000"/>
      <name val="Palatino Linotype"/>
    </font>
    <font>
      <b/>
      <sz val="11"/>
      <color rgb="FF000000"/>
      <name val="Palatino Linotyp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NumberFormat="1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NumberFormat="1" applyFont="1" applyAlignment="1">
      <alignment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30"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  <numFmt numFmtId="0" formatCode="General"/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  <numFmt numFmtId="0" formatCode="General"/>
    </dxf>
    <dxf>
      <font>
        <sz val="10"/>
        <color rgb="FF000000"/>
        <name val="Palatino Linotype"/>
      </font>
      <numFmt numFmtId="0" formatCode="General"/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  <numFmt numFmtId="0" formatCode="General"/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  <numFmt numFmtId="0" formatCode="General"/>
    </dxf>
    <dxf>
      <font>
        <sz val="10"/>
        <color rgb="FF000000"/>
        <name val="Palatino Linotype"/>
      </font>
      <numFmt numFmtId="0" formatCode="General"/>
    </dxf>
    <dxf>
      <font>
        <sz val="10"/>
        <color rgb="FF000000"/>
        <name val="Palatino Linotype"/>
      </font>
      <numFmt numFmtId="0" formatCode="General"/>
    </dxf>
    <dxf>
      <font>
        <sz val="10"/>
        <color rgb="FF000000"/>
        <name val="Palatino Linotype"/>
      </font>
      <numFmt numFmtId="0" formatCode="General"/>
    </dxf>
    <dxf>
      <font>
        <sz val="10"/>
        <color rgb="FF000000"/>
        <name val="Palatino Linotype"/>
      </font>
      <numFmt numFmtId="0" formatCode="General"/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  <numFmt numFmtId="0" formatCode="General"/>
    </dxf>
    <dxf>
      <font>
        <sz val="10"/>
        <color rgb="FF000000"/>
        <name val="Palatino Linotype"/>
      </font>
      <numFmt numFmtId="0" formatCode="General"/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  <numFmt numFmtId="0" formatCode="General"/>
    </dxf>
    <dxf>
      <font>
        <sz val="10"/>
        <color rgb="FF000000"/>
        <name val="Palatino Linotype"/>
      </font>
      <numFmt numFmtId="0" formatCode="General"/>
    </dxf>
    <dxf>
      <font>
        <sz val="10"/>
        <color rgb="FF000000"/>
        <name val="Palatino Linotype"/>
      </font>
    </dxf>
    <dxf>
      <font>
        <sz val="10"/>
        <color rgb="FF000000"/>
        <name val="Palatino Linotyp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B948A1D-E5D6-49A2-A9A1-51AB22A84561}" autoFormatId="16" applyNumberFormats="0" applyBorderFormats="0" applyFontFormats="0" applyPatternFormats="0" applyAlignmentFormats="0" applyWidthHeightFormats="0">
  <queryTableRefresh nextId="11">
    <queryTableFields count="10">
      <queryTableField id="1" name="Candidate ID" tableColumnId="1"/>
      <queryTableField id="2" name="Target Gene" tableColumnId="2"/>
      <queryTableField id="3" name="Target Position (GenBank)" tableColumnId="3"/>
      <queryTableField id="4" name="Sense Strand Sequence (5'-&gt;3')" tableColumnId="4"/>
      <queryTableField id="5" name="Antisense Strand Sequence (5'-&gt;3')" tableColumnId="5"/>
      <queryTableField id="6" name="GC Content (%)" tableColumnId="6"/>
      <queryTableField id="7" name="Conservation Identity (%)" tableColumnId="7"/>
      <queryTableField id="8" name="Total Mismatches (Malaysia Isolates)" tableColumnId="8"/>
      <queryTableField id="9" name="Total Mismatches (Bangladesh Isolates)" tableColumnId="9"/>
      <queryTableField id="10" name="Seed Region Mismatches (Pos 2-8)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EF6AB797-A8FE-4E7B-909D-69628AF92597}" autoFormatId="16" applyNumberFormats="0" applyBorderFormats="0" applyFontFormats="0" applyPatternFormats="0" applyAlignmentFormats="0" applyWidthHeightFormats="0">
  <queryTableRefresh nextId="8">
    <queryTableFields count="7">
      <queryTableField id="1" name="Candidate ID" tableColumnId="1"/>
      <queryTableField id="2" name="Target Gene" tableColumnId="2"/>
      <queryTableField id="3" name="Human Transcript Match (NCBI RefSeq)" tableColumnId="3"/>
      <queryTableField id="4" name="Mismatches in Non-Seed Region" tableColumnId="4"/>
      <queryTableField id="5" name="Seed Region Matches (Pos 2-8)" tableColumnId="5"/>
      <queryTableField id="6" name="Accessibility Probability (Pa)" tableColumnId="6"/>
      <queryTableField id="7" name="Local Target Conformati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918C3350-4938-4C0B-8EA3-E77B32434D23}" autoFormatId="16" applyNumberFormats="0" applyBorderFormats="0" applyFontFormats="0" applyPatternFormats="0" applyAlignmentFormats="0" applyWidthHeightFormats="0">
  <queryTableRefresh nextId="8">
    <queryTableFields count="7">
      <queryTableField id="1" name="Candidate ID" tableColumnId="1"/>
      <queryTableField id="2" name="Target Gene" tableColumnId="2"/>
      <queryTableField id="3" name="Top Pose Binding Free Energy (Delta G kcal/mol)" tableColumnId="3"/>
      <queryTableField id="4" name="Mean Binding Energy (Top 10 Poses kcal/mol)" tableColumnId="4"/>
      <queryTableField id="5" name="HDOCK Score" tableColumnId="5"/>
      <queryTableField id="6" name="Cluster Size (Poses)" tableColumnId="6"/>
      <queryTableField id="7" name="Ligand RMSD (Angstroms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10E43-EA89-4B7A-A1B7-2C5725DBAA45}" name="splementary1" displayName="splementary1" ref="A2:J9" tableType="queryTable" totalsRowShown="0" headerRowDxfId="29" dataDxfId="28">
  <autoFilter ref="A2:J9" xr:uid="{4DE10E43-EA89-4B7A-A1B7-2C5725DBAA45}"/>
  <tableColumns count="10">
    <tableColumn id="1" xr3:uid="{AA9872E1-205D-4F4E-A529-46FDAD74FE43}" uniqueName="1" name="Candidate ID" queryTableFieldId="1" dataDxfId="27"/>
    <tableColumn id="2" xr3:uid="{9B998EFA-26DF-4B7A-9FE3-757CE19D26F0}" uniqueName="2" name="Target Gene" queryTableFieldId="2" dataDxfId="26">
      <calculatedColumnFormula array="1">"Gene " &amp; INDEX(_xlfn.TEXTSPLIT(splementary1[[#This Row],[Candidate ID]], "-"), 2)</calculatedColumnFormula>
    </tableColumn>
    <tableColumn id="3" xr3:uid="{32E3AE99-F0C8-44AA-8304-8ADCB84BBAF1}" uniqueName="3" name="Target Position (GenBank)" queryTableFieldId="3" dataDxfId="25"/>
    <tableColumn id="4" xr3:uid="{1F207EBA-A66E-4AD9-A6BF-D04C406C3A46}" uniqueName="4" name="Sense Strand Sequence (5'-&gt;3')" queryTableFieldId="4" dataDxfId="24"/>
    <tableColumn id="5" xr3:uid="{8E99A37F-8875-4C6A-9BDF-CDF7EDE597F0}" uniqueName="5" name="Antisense Strand Sequence (5'-&gt;3')" queryTableFieldId="5" dataDxfId="23"/>
    <tableColumn id="6" xr3:uid="{335FB770-CC43-4F95-8276-1EB885A36A12}" uniqueName="6" name="GC Content (%)" queryTableFieldId="6" dataDxfId="22"/>
    <tableColumn id="7" xr3:uid="{B103FB13-2ED5-44E0-9BCE-F7620241DAD6}" uniqueName="7" name="Conservation Identity (%)" queryTableFieldId="7" dataDxfId="21"/>
    <tableColumn id="8" xr3:uid="{C890AE23-BBDD-435E-8556-F45E7A6B03ED}" uniqueName="8" name="Total Mismatches (Malaysia Isolates)" queryTableFieldId="8" dataDxfId="20"/>
    <tableColumn id="9" xr3:uid="{E3D8A9A4-9E2F-4FC2-8FB1-4F7D5C301BD1}" uniqueName="9" name="Total Mismatches (Bangladesh Isolates)" queryTableFieldId="9" dataDxfId="19"/>
    <tableColumn id="10" xr3:uid="{928A3B54-B47A-4764-AA53-16E4C151386C}" uniqueName="10" name="Seed Region Mismatches (Pos 2-8)" queryTableFieldId="10" dataDxfId="18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89712A-2E42-46C1-AE04-7D80868FEB24}" name="suplemetary2_1" displayName="suplemetary2_1" ref="A2:G8" tableType="queryTable" totalsRowShown="0" headerRowDxfId="17" dataDxfId="16">
  <autoFilter ref="A2:G8" xr:uid="{6A89712A-2E42-46C1-AE04-7D80868FEB24}"/>
  <tableColumns count="7">
    <tableColumn id="1" xr3:uid="{7444295D-EA45-4A7D-A4BB-138B36682257}" uniqueName="1" name="Candidate ID" queryTableFieldId="1" dataDxfId="15"/>
    <tableColumn id="2" xr3:uid="{A971D6A9-39E7-4C97-8C1C-F0D0F6977777}" uniqueName="2" name="Target Gene" queryTableFieldId="2" dataDxfId="14"/>
    <tableColumn id="3" xr3:uid="{8A259272-61D6-45E8-AFCA-DB5AAEB948F5}" uniqueName="3" name="Human Transcript Match (NCBI RefSeq)" queryTableFieldId="3" dataDxfId="13"/>
    <tableColumn id="4" xr3:uid="{B73FD105-5192-409A-A393-1A05C20DEC69}" uniqueName="4" name="Mismatches in Non-Seed Region" queryTableFieldId="4" dataDxfId="12"/>
    <tableColumn id="5" xr3:uid="{4FE3C722-7C01-491C-AE90-9E160B5C41F1}" uniqueName="5" name="Seed Region Matches (Pos 2-8)" queryTableFieldId="5" dataDxfId="11"/>
    <tableColumn id="6" xr3:uid="{DACD0757-7FAC-422C-8171-A50B78E381EE}" uniqueName="6" name="Accessibility Probability (Pa)" queryTableFieldId="6" dataDxfId="10"/>
    <tableColumn id="7" xr3:uid="{88F4E553-45A4-4EBB-8D92-738F32029CF7}" uniqueName="7" name="Local Target Conformation" queryTableFieldId="7" dataDxfId="9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D3A7E1-D853-4B73-A14F-16A2E1FCE918}" name="suplementary3" displayName="suplementary3" ref="A2:G8" tableType="queryTable" totalsRowShown="0" headerRowDxfId="8" dataDxfId="7">
  <autoFilter ref="A2:G8" xr:uid="{D4D3A7E1-D853-4B73-A14F-16A2E1FCE918}"/>
  <tableColumns count="7">
    <tableColumn id="1" xr3:uid="{94C83E52-9E6C-4FFB-A9B0-0E36F9791DC1}" uniqueName="1" name="Candidate ID" queryTableFieldId="1" dataDxfId="6"/>
    <tableColumn id="2" xr3:uid="{A0A1522E-B458-40F9-ACB8-A0A814037962}" uniqueName="2" name="Target Gene" queryTableFieldId="2" dataDxfId="5"/>
    <tableColumn id="3" xr3:uid="{D277CFD3-73C6-4D43-A62C-EB24EF5C9BF0}" uniqueName="3" name="Top Pose Binding Free Energy (Delta G kcal/mol)" queryTableFieldId="3" dataDxfId="4"/>
    <tableColumn id="4" xr3:uid="{B80858E6-4632-4089-A850-25EDDE3E6975}" uniqueName="4" name="Mean Binding Energy (Top 10 Poses kcal/mol)" queryTableFieldId="4" dataDxfId="3"/>
    <tableColumn id="5" xr3:uid="{F2AE6FCA-F49C-464D-923B-7EFF48005446}" uniqueName="5" name="HDOCK Score" queryTableFieldId="5" dataDxfId="2"/>
    <tableColumn id="6" xr3:uid="{EBCCC105-7BBC-46EB-ADB3-94D2FFA3A6F1}" uniqueName="6" name="Cluster Size (Poses)" queryTableFieldId="6" dataDxfId="1"/>
    <tableColumn id="7" xr3:uid="{9BDC3DBD-4AD2-43D7-819E-33EC28F2AD24}" uniqueName="7" name="Ligand RMSD (Angstroms)" queryTableFieldId="7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09DF-ABAF-439A-84B4-052CD7EFDD8B}">
  <dimension ref="A1:J10"/>
  <sheetViews>
    <sheetView workbookViewId="0">
      <selection activeCell="C17" sqref="C17"/>
    </sheetView>
  </sheetViews>
  <sheetFormatPr defaultRowHeight="15"/>
  <cols>
    <col min="1" max="1" width="14.85546875" bestFit="1" customWidth="1"/>
    <col min="2" max="2" width="14.28515625" bestFit="1" customWidth="1"/>
    <col min="3" max="3" width="27.140625" bestFit="1" customWidth="1"/>
    <col min="4" max="4" width="31.28515625" bestFit="1" customWidth="1"/>
    <col min="5" max="5" width="35" bestFit="1" customWidth="1"/>
    <col min="6" max="6" width="17.140625" bestFit="1" customWidth="1"/>
    <col min="7" max="7" width="26.42578125" bestFit="1" customWidth="1"/>
    <col min="8" max="8" width="37.140625" bestFit="1" customWidth="1"/>
    <col min="9" max="9" width="39.42578125" bestFit="1" customWidth="1"/>
    <col min="10" max="10" width="34.5703125" bestFit="1" customWidth="1"/>
  </cols>
  <sheetData>
    <row r="1" spans="1:10" ht="17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5.75">
      <c r="A3" s="2" t="s">
        <v>11</v>
      </c>
      <c r="B3" s="2" t="str" cm="1">
        <f t="array" ref="B3">"Gene " &amp; INDEX(_xlfn.TEXTSPLIT(splementary1[[#This Row],[Candidate ID]], "-"), 2)</f>
        <v>Gene N</v>
      </c>
      <c r="C3" s="1">
        <v>36</v>
      </c>
      <c r="D3" s="2" t="s">
        <v>12</v>
      </c>
      <c r="E3" s="2" t="s">
        <v>13</v>
      </c>
      <c r="F3" s="1">
        <v>0.42</v>
      </c>
      <c r="G3" s="1">
        <v>1</v>
      </c>
      <c r="H3" s="1">
        <v>0</v>
      </c>
      <c r="I3" s="1">
        <v>0</v>
      </c>
      <c r="J3" s="1">
        <v>0</v>
      </c>
    </row>
    <row r="4" spans="1:10" ht="15.75">
      <c r="A4" s="2" t="s">
        <v>14</v>
      </c>
      <c r="B4" s="2" t="str" cm="1">
        <f t="array" ref="B4">"Gene " &amp; INDEX(_xlfn.TEXTSPLIT(splementary1[[#This Row],[Candidate ID]], "-"), 2)</f>
        <v>Gene N</v>
      </c>
      <c r="C4" s="1">
        <v>121</v>
      </c>
      <c r="D4" s="2" t="s">
        <v>15</v>
      </c>
      <c r="E4" s="2" t="s">
        <v>16</v>
      </c>
      <c r="F4" s="1">
        <v>0.42</v>
      </c>
      <c r="G4" s="1">
        <v>1</v>
      </c>
      <c r="H4" s="1">
        <v>0</v>
      </c>
      <c r="I4" s="1">
        <v>0</v>
      </c>
      <c r="J4" s="1">
        <v>0</v>
      </c>
    </row>
    <row r="5" spans="1:10" ht="15.75">
      <c r="A5" s="2" t="s">
        <v>17</v>
      </c>
      <c r="B5" s="2" t="str" cm="1">
        <f t="array" ref="B5">"Gene " &amp; INDEX(_xlfn.TEXTSPLIT(splementary1[[#This Row],[Candidate ID]], "-"), 2)</f>
        <v>Gene N</v>
      </c>
      <c r="C5" s="1">
        <v>152</v>
      </c>
      <c r="D5" s="2" t="s">
        <v>18</v>
      </c>
      <c r="E5" s="2" t="s">
        <v>19</v>
      </c>
      <c r="F5" s="1">
        <v>0.41</v>
      </c>
      <c r="G5" s="1">
        <v>1</v>
      </c>
      <c r="H5" s="1">
        <v>0</v>
      </c>
      <c r="I5" s="1">
        <v>0</v>
      </c>
      <c r="J5" s="1">
        <v>0</v>
      </c>
    </row>
    <row r="6" spans="1:10" ht="15.75">
      <c r="A6" s="2" t="s">
        <v>20</v>
      </c>
      <c r="B6" s="2" t="str" cm="1">
        <f t="array" ref="B6">"Gene " &amp; INDEX(_xlfn.TEXTSPLIT(splementary1[[#This Row],[Candidate ID]], "-"), 2)</f>
        <v>Gene L</v>
      </c>
      <c r="C6" s="1">
        <v>42</v>
      </c>
      <c r="D6" s="2" t="s">
        <v>21</v>
      </c>
      <c r="E6" s="2" t="s">
        <v>22</v>
      </c>
      <c r="F6" s="1">
        <v>0.42</v>
      </c>
      <c r="G6" s="1">
        <v>1</v>
      </c>
      <c r="H6" s="1">
        <v>0</v>
      </c>
      <c r="I6" s="1">
        <v>0</v>
      </c>
      <c r="J6" s="1">
        <v>0</v>
      </c>
    </row>
    <row r="7" spans="1:10" ht="15.75">
      <c r="A7" s="2" t="s">
        <v>23</v>
      </c>
      <c r="B7" s="2" t="str" cm="1">
        <f t="array" ref="B7">"Gene " &amp; INDEX(_xlfn.TEXTSPLIT(splementary1[[#This Row],[Candidate ID]], "-"), 2)</f>
        <v>Gene L</v>
      </c>
      <c r="C7" s="1">
        <v>180</v>
      </c>
      <c r="D7" s="2" t="s">
        <v>24</v>
      </c>
      <c r="E7" s="2" t="s">
        <v>25</v>
      </c>
      <c r="F7" s="1">
        <v>0.43</v>
      </c>
      <c r="G7" s="1">
        <v>1</v>
      </c>
      <c r="H7" s="1">
        <v>0</v>
      </c>
      <c r="I7" s="1">
        <v>0</v>
      </c>
      <c r="J7" s="1">
        <v>0</v>
      </c>
    </row>
    <row r="8" spans="1:10" ht="15.75">
      <c r="A8" s="2" t="s">
        <v>26</v>
      </c>
      <c r="B8" s="2" t="str" cm="1">
        <f t="array" ref="B8">"Gene " &amp; INDEX(_xlfn.TEXTSPLIT(splementary1[[#This Row],[Candidate ID]], "-"), 2)</f>
        <v>Gene L</v>
      </c>
      <c r="C8" s="1">
        <v>426</v>
      </c>
      <c r="D8" s="2" t="s">
        <v>27</v>
      </c>
      <c r="E8" s="2" t="s">
        <v>28</v>
      </c>
      <c r="F8" s="1">
        <v>0.42</v>
      </c>
      <c r="G8" s="1">
        <v>1</v>
      </c>
      <c r="H8" s="1">
        <v>0</v>
      </c>
      <c r="I8" s="1">
        <v>0</v>
      </c>
      <c r="J8" s="1">
        <v>0</v>
      </c>
    </row>
    <row r="9" spans="1:10" ht="15.75">
      <c r="A9" s="5"/>
      <c r="B9" s="2"/>
      <c r="C9" s="1"/>
      <c r="D9" s="2"/>
      <c r="E9" s="2"/>
      <c r="F9" s="1"/>
      <c r="G9" s="1"/>
      <c r="H9" s="1"/>
      <c r="I9" s="1"/>
      <c r="J9" s="1"/>
    </row>
    <row r="10" spans="1:10" ht="16.5">
      <c r="A10" s="6" t="s">
        <v>29</v>
      </c>
      <c r="B10" s="6"/>
      <c r="C10" s="6"/>
      <c r="D10" s="6"/>
      <c r="E10" s="6"/>
      <c r="F10" s="6"/>
      <c r="G10" s="6"/>
      <c r="H10" s="6"/>
      <c r="I10" s="6"/>
      <c r="J10" s="6"/>
    </row>
  </sheetData>
  <mergeCells count="2">
    <mergeCell ref="A1:J1"/>
    <mergeCell ref="A10:J1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A45B-5183-49DE-9142-2B46C7CDDD6D}">
  <dimension ref="A1:G9"/>
  <sheetViews>
    <sheetView workbookViewId="0">
      <selection activeCell="C22" sqref="C22"/>
    </sheetView>
  </sheetViews>
  <sheetFormatPr defaultRowHeight="15"/>
  <cols>
    <col min="1" max="1" width="14.85546875" bestFit="1" customWidth="1"/>
    <col min="2" max="2" width="14.28515625" bestFit="1" customWidth="1"/>
    <col min="3" max="3" width="39.28515625" bestFit="1" customWidth="1"/>
    <col min="4" max="4" width="32.85546875" bestFit="1" customWidth="1"/>
    <col min="5" max="5" width="31.28515625" bestFit="1" customWidth="1"/>
    <col min="6" max="6" width="29.140625" bestFit="1" customWidth="1"/>
    <col min="7" max="7" width="27.42578125" bestFit="1" customWidth="1"/>
  </cols>
  <sheetData>
    <row r="1" spans="1:7" ht="17.25">
      <c r="A1" s="3" t="s">
        <v>30</v>
      </c>
      <c r="B1" s="4"/>
      <c r="C1" s="4"/>
      <c r="D1" s="4"/>
      <c r="E1" s="4"/>
      <c r="F1" s="4"/>
      <c r="G1" s="4"/>
    </row>
    <row r="2" spans="1:7" ht="15.75">
      <c r="A2" s="1" t="s">
        <v>1</v>
      </c>
      <c r="B2" s="1" t="s">
        <v>2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</row>
    <row r="3" spans="1:7" ht="15.75">
      <c r="A3" s="2" t="s">
        <v>11</v>
      </c>
      <c r="B3" s="2" t="s">
        <v>36</v>
      </c>
      <c r="C3" s="2" t="s">
        <v>37</v>
      </c>
      <c r="D3" s="2" t="s">
        <v>38</v>
      </c>
      <c r="E3" s="2" t="s">
        <v>39</v>
      </c>
      <c r="F3" s="1">
        <v>78</v>
      </c>
      <c r="G3" s="2" t="s">
        <v>40</v>
      </c>
    </row>
    <row r="4" spans="1:7" ht="15.75">
      <c r="A4" s="2" t="s">
        <v>14</v>
      </c>
      <c r="B4" s="2" t="s">
        <v>36</v>
      </c>
      <c r="C4" s="2" t="s">
        <v>37</v>
      </c>
      <c r="D4" s="2" t="s">
        <v>38</v>
      </c>
      <c r="E4" s="2" t="s">
        <v>39</v>
      </c>
      <c r="F4" s="1">
        <v>72</v>
      </c>
      <c r="G4" s="2" t="s">
        <v>41</v>
      </c>
    </row>
    <row r="5" spans="1:7" ht="15.75">
      <c r="A5" s="2" t="s">
        <v>17</v>
      </c>
      <c r="B5" s="2" t="s">
        <v>36</v>
      </c>
      <c r="C5" s="2" t="s">
        <v>37</v>
      </c>
      <c r="D5" s="2" t="s">
        <v>38</v>
      </c>
      <c r="E5" s="2" t="s">
        <v>39</v>
      </c>
      <c r="F5" s="1">
        <v>69</v>
      </c>
      <c r="G5" s="2" t="s">
        <v>40</v>
      </c>
    </row>
    <row r="6" spans="1:7" ht="15.75">
      <c r="A6" s="2" t="s">
        <v>20</v>
      </c>
      <c r="B6" s="2" t="s">
        <v>42</v>
      </c>
      <c r="C6" s="2" t="s">
        <v>37</v>
      </c>
      <c r="D6" s="2" t="s">
        <v>38</v>
      </c>
      <c r="E6" s="2" t="s">
        <v>39</v>
      </c>
      <c r="F6" s="1">
        <v>81</v>
      </c>
      <c r="G6" s="2" t="s">
        <v>43</v>
      </c>
    </row>
    <row r="7" spans="1:7" ht="15.75">
      <c r="A7" s="2" t="s">
        <v>23</v>
      </c>
      <c r="B7" s="2" t="s">
        <v>42</v>
      </c>
      <c r="C7" s="2" t="s">
        <v>37</v>
      </c>
      <c r="D7" s="2" t="s">
        <v>38</v>
      </c>
      <c r="E7" s="2" t="s">
        <v>39</v>
      </c>
      <c r="F7" s="1">
        <v>74</v>
      </c>
      <c r="G7" s="2" t="s">
        <v>40</v>
      </c>
    </row>
    <row r="8" spans="1:7" ht="15.75">
      <c r="A8" s="2" t="s">
        <v>26</v>
      </c>
      <c r="B8" s="2" t="s">
        <v>42</v>
      </c>
      <c r="C8" s="2" t="s">
        <v>37</v>
      </c>
      <c r="D8" s="2" t="s">
        <v>38</v>
      </c>
      <c r="E8" s="2" t="s">
        <v>39</v>
      </c>
      <c r="F8" s="1">
        <v>67</v>
      </c>
      <c r="G8" s="2" t="s">
        <v>41</v>
      </c>
    </row>
    <row r="9" spans="1:7" ht="16.5">
      <c r="A9" s="7" t="s">
        <v>44</v>
      </c>
      <c r="B9" s="4"/>
      <c r="C9" s="4"/>
      <c r="D9" s="4"/>
      <c r="E9" s="4"/>
      <c r="F9" s="4"/>
      <c r="G9" s="4"/>
    </row>
  </sheetData>
  <mergeCells count="2">
    <mergeCell ref="A1:G1"/>
    <mergeCell ref="A9:G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FC0C-D9A4-446C-BE44-A604A3E68184}">
  <dimension ref="A1:G9"/>
  <sheetViews>
    <sheetView tabSelected="1" workbookViewId="0">
      <selection activeCell="B14" sqref="B14"/>
    </sheetView>
  </sheetViews>
  <sheetFormatPr defaultRowHeight="15"/>
  <cols>
    <col min="1" max="1" width="14.85546875" bestFit="1" customWidth="1"/>
    <col min="2" max="2" width="14.28515625" bestFit="1" customWidth="1"/>
    <col min="3" max="3" width="47.5703125" bestFit="1" customWidth="1"/>
    <col min="4" max="4" width="45.28515625" bestFit="1" customWidth="1"/>
    <col min="5" max="5" width="15.28515625" bestFit="1" customWidth="1"/>
    <col min="6" max="6" width="20.85546875" bestFit="1" customWidth="1"/>
    <col min="7" max="7" width="27" bestFit="1" customWidth="1"/>
  </cols>
  <sheetData>
    <row r="1" spans="1:7" ht="17.25">
      <c r="A1" s="3" t="s">
        <v>45</v>
      </c>
      <c r="B1" s="4"/>
      <c r="C1" s="4"/>
      <c r="D1" s="4"/>
      <c r="E1" s="4"/>
      <c r="F1" s="4"/>
      <c r="G1" s="4"/>
    </row>
    <row r="2" spans="1:7" ht="15.75">
      <c r="A2" s="1" t="s">
        <v>1</v>
      </c>
      <c r="B2" s="1" t="s">
        <v>2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</row>
    <row r="3" spans="1:7" ht="15.75">
      <c r="A3" s="2" t="s">
        <v>11</v>
      </c>
      <c r="B3" s="2" t="s">
        <v>36</v>
      </c>
      <c r="C3" s="1">
        <v>-864</v>
      </c>
      <c r="D3" s="2" t="s">
        <v>51</v>
      </c>
      <c r="E3" s="1">
        <v>-24532</v>
      </c>
      <c r="F3" s="1">
        <v>42</v>
      </c>
      <c r="G3" s="1">
        <v>118</v>
      </c>
    </row>
    <row r="4" spans="1:7" ht="15.75">
      <c r="A4" s="2" t="s">
        <v>14</v>
      </c>
      <c r="B4" s="2" t="s">
        <v>36</v>
      </c>
      <c r="C4" s="1">
        <v>-812</v>
      </c>
      <c r="D4" s="2" t="s">
        <v>52</v>
      </c>
      <c r="E4" s="1">
        <v>-23210</v>
      </c>
      <c r="F4" s="1">
        <v>38</v>
      </c>
      <c r="G4" s="1">
        <v>135</v>
      </c>
    </row>
    <row r="5" spans="1:7" ht="15.75">
      <c r="A5" s="2" t="s">
        <v>17</v>
      </c>
      <c r="B5" s="2" t="s">
        <v>36</v>
      </c>
      <c r="C5" s="1">
        <v>-798</v>
      </c>
      <c r="D5" s="2" t="s">
        <v>53</v>
      </c>
      <c r="E5" s="1">
        <v>-22845</v>
      </c>
      <c r="F5" s="1">
        <v>31</v>
      </c>
      <c r="G5" s="1">
        <v>142</v>
      </c>
    </row>
    <row r="6" spans="1:7" ht="15.75">
      <c r="A6" s="2" t="s">
        <v>20</v>
      </c>
      <c r="B6" s="2" t="s">
        <v>42</v>
      </c>
      <c r="C6" s="1">
        <v>-859</v>
      </c>
      <c r="D6" s="2" t="s">
        <v>54</v>
      </c>
      <c r="E6" s="1">
        <v>-24288</v>
      </c>
      <c r="F6" s="1">
        <v>45</v>
      </c>
      <c r="G6" s="1">
        <v>122</v>
      </c>
    </row>
    <row r="7" spans="1:7" ht="15.75">
      <c r="A7" s="2" t="s">
        <v>23</v>
      </c>
      <c r="B7" s="2" t="s">
        <v>42</v>
      </c>
      <c r="C7" s="1">
        <v>-825</v>
      </c>
      <c r="D7" s="2" t="s">
        <v>55</v>
      </c>
      <c r="E7" s="1">
        <v>-23615</v>
      </c>
      <c r="F7" s="1">
        <v>36</v>
      </c>
      <c r="G7" s="1">
        <v>129</v>
      </c>
    </row>
    <row r="8" spans="1:7" ht="15.75">
      <c r="A8" s="2" t="s">
        <v>26</v>
      </c>
      <c r="B8" s="2" t="s">
        <v>42</v>
      </c>
      <c r="C8" s="1">
        <v>-805</v>
      </c>
      <c r="D8" s="2" t="s">
        <v>56</v>
      </c>
      <c r="E8" s="1">
        <v>-23090</v>
      </c>
      <c r="F8" s="1">
        <v>33</v>
      </c>
      <c r="G8" s="1">
        <v>138</v>
      </c>
    </row>
    <row r="9" spans="1:7" ht="16.5">
      <c r="A9" s="6" t="s">
        <v>57</v>
      </c>
      <c r="B9" s="6"/>
      <c r="C9" s="6"/>
      <c r="D9" s="6"/>
      <c r="E9" s="6"/>
      <c r="F9" s="6"/>
      <c r="G9" s="6"/>
    </row>
  </sheetData>
  <mergeCells count="2">
    <mergeCell ref="A1:G1"/>
    <mergeCell ref="A9:G9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5384C6-5618-4545-BAA5-F221769289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2026-08-25T12:37:00Z</dcterms:created>
  <dcterms:modified xsi:type="dcterms:W3CDTF">2026-08-25T14:29:58Z</dcterms:modified>
  <cp:category/>
  <cp:contentStatus/>
</cp:coreProperties>
</file>